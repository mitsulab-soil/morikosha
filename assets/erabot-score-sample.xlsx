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6815670b8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採点表" sheetId="1" r:id="R3472c7f5e83b49f4"/>
    <x:sheet xmlns:r="http://schemas.openxmlformats.org/officeDocument/2006/relationships" name="更新依頼" sheetId="2" r:id="R73c30ddc9c8c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sz val="11"/>
      <x:color rgb="FF24342E"/>
      <x:name val="Arial"/>
    </x:font>
    <x:font>
      <x:b/>
      <x:sz val="16"/>
      <x:color rgb="FF24342E"/>
      <x:name val="Arial"/>
    </x:font>
    <x:font>
      <x:sz val="10"/>
      <x:color rgb="FF54634D"/>
      <x:name val="Arial"/>
    </x:font>
    <x:font>
      <x:b/>
      <x:sz val="11"/>
      <x:color rgb="FF24342E"/>
      <x:name val="Arial"/>
    </x:font>
    <x:font>
      <x:sz val="10"/>
      <x:color rgb="FF5966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D1"/>
      </x:patternFill>
    </x:fill>
    <x:fill>
      <x:patternFill patternType="solid">
        <x:fgColor rgb="FFE5EBDC"/>
      </x:patternFill>
    </x:fill>
    <x:fill>
      <x:patternFill patternType="solid">
        <x:fgColor rgb="FFEEF0E8"/>
      </x:patternFill>
    </x:fill>
  </x:fills>
  <x:borders count="2">
    <x:border/>
    <x:border>
      <x:bottom style="thin">
        <x:color rgb="FFA9BBA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E4D2E"/>
      </x:font>
      <x:fill>
        <x:patternFill patternType="solid">
          <x:bgColor rgb="FFF4E8DA"/>
        </x:patternFill>
      </x:fill>
    </x:dxf>
    <x:dxf>
      <x:font>
        <x:color rgb="FF972D25"/>
      </x:font>
      <x:fill>
        <x:patternFill patternType="solid">
          <x:bgColor rgb="FFF8DE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f92d29b74c35" /><Relationship Type="http://schemas.openxmlformats.org/officeDocument/2006/relationships/theme" Target="/xl/theme/theme1.xml" Id="Ra6b4ceb232094ad4" /><Relationship Type="http://schemas.openxmlformats.org/officeDocument/2006/relationships/sharedStrings" Target="/xl/sharedStrings.xml" Id="Rfe00e9887af84646" /><Relationship Type="http://schemas.openxmlformats.org/officeDocument/2006/relationships/worksheet" Target="/xl/worksheets/sheet1.xml" Id="R3472c7f5e83b49f4" /><Relationship Type="http://schemas.openxmlformats.org/officeDocument/2006/relationships/worksheet" Target="/xl/worksheets/sheet2.xml" Id="R73c30ddc9c8c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5F49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えらぼっと　採点表サンプル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架空の3製品を用いた説明用の例です。実製品の選定には使えません。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4" t="str">
        <x:v>黄色のセルが入力欄です。Webサンプルと同じ条件・配点を使っています。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 t="str">
        <x:v>使用環境</x:v>
      </x:c>
      <x:c r="B6" s="5" t="str">
        <x:v>屋外</x:v>
      </x:c>
      <x:c r="C6" s="2"/>
      <x:c r="D6" s="2" t="str">
        <x:v>気候</x:v>
      </x:c>
      <x:c r="E6" s="5" t="str">
        <x:v>温暖</x:v>
      </x:c>
      <x:c r="F6" s="2"/>
      <x:c r="G6" s="2" t="str">
        <x:v>用途</x:v>
      </x:c>
      <x:c r="H6" s="5" t="str">
        <x:v>通路</x:v>
      </x:c>
      <x:c r="I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40" customHeight="1">
      <x:c r="A8" s="10" t="str">
        <x:v>比較項目</x:v>
      </x:c>
      <x:c r="B8" s="10" t="str">
        <x:v>環境への適性</x:v>
      </x:c>
      <x:c r="C8" s="10" t="str">
        <x:v>経済性</x:v>
      </x:c>
      <x:c r="D8" s="10" t="str">
        <x:v>気候への適性</x:v>
      </x:c>
      <x:c r="E8" s="10" t="str">
        <x:v>用途への適性</x:v>
      </x:c>
      <x:c r="F8" s="2"/>
      <x:c r="G8" s="2"/>
      <x:c r="H8" s="2"/>
      <x:c r="I8" s="2"/>
    </x:row>
    <x:row r="9" ht="25" customHeight="1">
      <x:c r="A9" s="2" t="str">
        <x:v>重み（0〜5）</x:v>
      </x:c>
      <x:c r="B9" s="5" t="n">
        <x:v>1</x:v>
      </x:c>
      <x:c r="C9" s="5" t="n">
        <x:v>1</x:v>
      </x:c>
      <x:c r="D9" s="5" t="n">
        <x:v>1</x:v>
      </x:c>
      <x:c r="E9" s="5" t="n">
        <x:v>1</x:v>
      </x:c>
      <x:c r="F9" s="2"/>
      <x:c r="G9" s="2"/>
      <x:c r="H9" s="2"/>
      <x:c r="I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5" customHeight="1">
      <x:c r="A11" s="4" t="str">
        <x:v>比較点：適用できる製品の「評価値×重み」の合計 ÷（重み合計×5）×100。評価値は0〜5です。</x:v>
      </x:c>
      <x:c r="B11" s="2"/>
      <x:c r="C11" s="2"/>
      <x:c r="D11" s="2"/>
      <x:c r="E11" s="2"/>
      <x:c r="F11" s="2"/>
      <x:c r="G11" s="2"/>
      <x:c r="H11" s="2"/>
      <x:c r="I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40" customHeight="1">
      <x:c r="A13" s="10" t="str">
        <x:v>製品</x:v>
      </x:c>
      <x:c r="B13" s="10" t="str">
        <x:v>適用判定</x:v>
      </x:c>
      <x:c r="C13" s="10" t="str">
        <x:v>比較点／100</x:v>
      </x:c>
      <x:c r="D13" s="10" t="str">
        <x:v>確認理由</x:v>
      </x:c>
      <x:c r="E13" s="10"/>
      <x:c r="F13" s="10"/>
      <x:c r="G13" s="10"/>
      <x:c r="H13" s="10"/>
      <x:c r="I13" s="10"/>
    </x:row>
    <x:row r="14" ht="34" customHeight="1">
      <x:c r="A14" s="2" t="str">
        <x:f>A23</x:f>
        <x:v>製品A（架空）</x:v>
      </x:c>
      <x:c r="B14" s="2" t="str">
        <x:f>IF(OR(AND($B$6&lt;&gt;"屋内",$B$6&lt;&gt;"屋外",$B$6&lt;&gt;"水中"),AND($E$6&lt;&gt;"温暖",$E$6&lt;&gt;"寒冷"),AND($H$6&lt;&gt;"通路",$H$6&lt;&gt;"花壇"),COUNT(B23:E23)&lt;&gt;4,COUNTIFS(B23:E23,0)+COUNTIFS(B23:E23,1)&lt;&gt;4),"要確認",IF(OR($B$6="水中",AND($B$6="屋外",B23=0),AND($E$6="寒冷",C23=0),AND($H$6="通路",D23=0),AND($H$6="花壇",E23=0)),"適用外","候補"))</x:f>
        <x:v>候補</x:v>
      </x:c>
      <x:c r="C14" s="11" t="n">
        <x:f>IF(B14&lt;&gt;"候補","—",IF(OR(COUNT($B$9:$E$9)&lt;&gt;4,MIN($B$9:$E$9)&lt;0,MAX($B$9:$E$9)&gt;5,COUNT(F23:I23)&lt;&gt;4,MIN(F23:I23)&lt;0,MAX(F23:I23)&gt;5),"要確認",IF(SUM($B$9:$E$9)=0,"重み未設定",ROUND(SUMPRODUCT(F23:I23,$B$9:$E$9)/SUM($B$9:$E$9)/5*100,1))))</x:f>
        <x:v>65</x:v>
      </x:c>
      <x:c r="D14" s="2" t="str">
        <x:f>IF(B14="要確認","必須条件の入力を確認",IF(B14="候補","環境・気候・用途の必須条件を満たします","下の製品条件表で使用不可の条件を確認"))</x:f>
        <x:v>環境・気候・用途の必須条件を満たします</x:v>
      </x:c>
      <x:c r="E14" s="2"/>
      <x:c r="F14" s="2"/>
      <x:c r="G14" s="2"/>
      <x:c r="H14" s="2"/>
      <x:c r="I14" s="2"/>
    </x:row>
    <x:row r="15" ht="34" customHeight="1">
      <x:c r="A15" s="2" t="str">
        <x:f>A24</x:f>
        <x:v>製品B（架空）</x:v>
      </x:c>
      <x:c r="B15" s="2" t="str">
        <x:f>IF(OR(AND($B$6&lt;&gt;"屋内",$B$6&lt;&gt;"屋外",$B$6&lt;&gt;"水中"),AND($E$6&lt;&gt;"温暖",$E$6&lt;&gt;"寒冷"),AND($H$6&lt;&gt;"通路",$H$6&lt;&gt;"花壇"),COUNT(B24:E24)&lt;&gt;4,COUNTIFS(B24:E24,0)+COUNTIFS(B24:E24,1)&lt;&gt;4),"要確認",IF(OR($B$6="水中",AND($B$6="屋外",B24=0),AND($E$6="寒冷",C24=0),AND($H$6="通路",D24=0),AND($H$6="花壇",E24=0)),"適用外","候補"))</x:f>
        <x:v>候補</x:v>
      </x:c>
      <x:c r="C15" s="11" t="n">
        <x:f>IF(B15&lt;&gt;"候補","—",IF(OR(COUNT($B$9:$E$9)&lt;&gt;4,MIN($B$9:$E$9)&lt;0,MAX($B$9:$E$9)&gt;5,COUNT(F24:I24)&lt;&gt;4,MIN(F24:I24)&lt;0,MAX(F24:I24)&gt;5),"要確認",IF(SUM($B$9:$E$9)=0,"重み未設定",ROUND(SUMPRODUCT(F24:I24,$B$9:$E$9)/SUM($B$9:$E$9)/5*100,1))))</x:f>
        <x:v>80</x:v>
      </x:c>
      <x:c r="D15" s="2" t="str">
        <x:f>IF(B15="要確認","必須条件の入力を確認",IF(B15="候補","環境・気候・用途の必須条件を満たします","下の製品条件表で使用不可の条件を確認"))</x:f>
        <x:v>環境・気候・用途の必須条件を満たします</x:v>
      </x:c>
      <x:c r="E15" s="2"/>
      <x:c r="F15" s="2"/>
      <x:c r="G15" s="2"/>
      <x:c r="H15" s="2"/>
      <x:c r="I15" s="2"/>
    </x:row>
    <x:row r="16" ht="34" customHeight="1">
      <x:c r="A16" s="2" t="str">
        <x:f>A25</x:f>
        <x:v>製品C（架空）</x:v>
      </x:c>
      <x:c r="B16" s="2" t="str">
        <x:f>IF(OR(AND($B$6&lt;&gt;"屋内",$B$6&lt;&gt;"屋外",$B$6&lt;&gt;"水中"),AND($E$6&lt;&gt;"温暖",$E$6&lt;&gt;"寒冷"),AND($H$6&lt;&gt;"通路",$H$6&lt;&gt;"花壇"),COUNT(B25:E25)&lt;&gt;4,COUNTIFS(B25:E25,0)+COUNTIFS(B25:E25,1)&lt;&gt;4),"要確認",IF(OR($B$6="水中",AND($B$6="屋外",B25=0),AND($E$6="寒冷",C25=0),AND($H$6="通路",D25=0),AND($H$6="花壇",E25=0)),"適用外","候補"))</x:f>
        <x:v>適用外</x:v>
      </x:c>
      <x:c r="C16" s="11" t="str">
        <x:f>IF(B16&lt;&gt;"候補","—",IF(OR(COUNT($B$9:$E$9)&lt;&gt;4,MIN($B$9:$E$9)&lt;0,MAX($B$9:$E$9)&gt;5,COUNT(F25:I25)&lt;&gt;4,MIN(F25:I25)&lt;0,MAX(F25:I25)&gt;5),"要確認",IF(SUM($B$9:$E$9)=0,"重み未設定",ROUND(SUMPRODUCT(F25:I25,$B$9:$E$9)/SUM($B$9:$E$9)/5*100,1))))</x:f>
        <x:v>—</x:v>
      </x:c>
      <x:c r="D16" s="2" t="str">
        <x:f>IF(B16="要確認","必須条件の入力を確認",IF(B16="候補","環境・気候・用途の必須条件を満たします","下の製品条件表で使用不可の条件を確認"))</x:f>
        <x:v>下の製品条件表で使用不可の条件を確認</x:v>
      </x:c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4" t="str">
        <x:v>適用外の製品は、比較点が高くても候補にしません。候補がない場合は条件を見直し、提供元へ相談します。</x:v>
      </x:c>
      <x:c r="B18" s="2"/>
      <x:c r="C18" s="2"/>
      <x:c r="D18" s="2"/>
      <x:c r="E18" s="2"/>
      <x:c r="F18" s="2"/>
      <x:c r="G18" s="2"/>
      <x:c r="H18" s="2"/>
      <x:c r="I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5" customHeight="1">
      <x:c r="A20" s="12" t="str">
        <x:v>製品条件・評価値（編集可能な架空データ）</x:v>
      </x:c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4" t="str">
        <x:v>条件の1は使用可、0は使用不可。屋内は全製品使用可、水中は全製品使用不可という例です。</x:v>
      </x:c>
      <x:c r="B21" s="2"/>
      <x:c r="C21" s="2"/>
      <x:c r="D21" s="2"/>
      <x:c r="E21" s="2"/>
      <x:c r="F21" s="2"/>
      <x:c r="G21" s="2"/>
      <x:c r="H21" s="2"/>
      <x:c r="I21" s="2"/>
    </x:row>
    <x:row r="22" ht="40" customHeight="1">
      <x:c r="A22" s="10" t="str">
        <x:v>製品</x:v>
      </x:c>
      <x:c r="B22" s="10" t="str">
        <x:v>屋外使用</x:v>
      </x:c>
      <x:c r="C22" s="10" t="str">
        <x:v>寒冷使用</x:v>
      </x:c>
      <x:c r="D22" s="10" t="str">
        <x:v>通路使用</x:v>
      </x:c>
      <x:c r="E22" s="10" t="str">
        <x:v>花壇使用</x:v>
      </x:c>
      <x:c r="F22" s="10" t="str">
        <x:v>環境への適性</x:v>
      </x:c>
      <x:c r="G22" s="10" t="str">
        <x:v>経済性</x:v>
      </x:c>
      <x:c r="H22" s="10" t="str">
        <x:v>気候への適性</x:v>
      </x:c>
      <x:c r="I22" s="10" t="str">
        <x:v>用途への適性</x:v>
      </x:c>
    </x:row>
    <x:row r="23" ht="25" customHeight="1">
      <x:c r="A23" s="5" t="str">
        <x:v>製品A（架空）</x:v>
      </x:c>
      <x:c r="B23" s="13" t="n">
        <x:v>1</x:v>
      </x:c>
      <x:c r="C23" s="13" t="n">
        <x:v>0</x:v>
      </x:c>
      <x:c r="D23" s="13" t="n">
        <x:v>1</x:v>
      </x:c>
      <x:c r="E23" s="13" t="n">
        <x:v>1</x:v>
      </x:c>
      <x:c r="F23" s="13" t="n">
        <x:v>3</x:v>
      </x:c>
      <x:c r="G23" s="13" t="n">
        <x:v>5</x:v>
      </x:c>
      <x:c r="H23" s="13" t="n">
        <x:v>2</x:v>
      </x:c>
      <x:c r="I23" s="13" t="n">
        <x:v>3</x:v>
      </x:c>
    </x:row>
    <x:row r="24" ht="25" customHeight="1">
      <x:c r="A24" s="5" t="str">
        <x:v>製品B（架空）</x:v>
      </x:c>
      <x:c r="B24" s="13" t="n">
        <x:v>1</x:v>
      </x:c>
      <x:c r="C24" s="13" t="n">
        <x:v>1</x:v>
      </x:c>
      <x:c r="D24" s="13" t="n">
        <x:v>1</x:v>
      </x:c>
      <x:c r="E24" s="13" t="n">
        <x:v>0</x:v>
      </x:c>
      <x:c r="F24" s="13" t="n">
        <x:v>5</x:v>
      </x:c>
      <x:c r="G24" s="13" t="n">
        <x:v>2</x:v>
      </x:c>
      <x:c r="H24" s="13" t="n">
        <x:v>5</x:v>
      </x:c>
      <x:c r="I24" s="13" t="n">
        <x:v>4</x:v>
      </x:c>
    </x:row>
    <x:row r="25" ht="25" customHeight="1">
      <x:c r="A25" s="5" t="str">
        <x:v>製品C（架空）</x:v>
      </x:c>
      <x:c r="B25" s="13" t="n">
        <x:v>0</x:v>
      </x:c>
      <x:c r="C25" s="13" t="n">
        <x:v>1</x:v>
      </x:c>
      <x:c r="D25" s="13" t="n">
        <x:v>0</x:v>
      </x:c>
      <x:c r="E25" s="13" t="n">
        <x:v>1</x:v>
      </x:c>
      <x:c r="F25" s="13" t="n">
        <x:v>4</x:v>
      </x:c>
      <x:c r="G25" s="13" t="n">
        <x:v>4</x:v>
      </x:c>
      <x:c r="H25" s="13" t="n">
        <x:v>3</x:v>
      </x:c>
      <x:c r="I25" s="13" t="n">
        <x:v>5</x:v>
      </x:c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5" customHeight="1">
      <x:c r="A27" s="4" t="str">
        <x:v>評価値：0=この例での相対評価が低い、5=高い。高得点でも適用・安全を保証するものではありません。</x:v>
      </x:c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4" t="str">
        <x:v>実際の納品表は御社の仕様・根拠に合わせて設計します。必須条件と比較用の配点を別に管理します。</x:v>
      </x:c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5" customHeight="1">
      <x:c r="A30" s="4" t="str">
        <x:v>更新するとき：製品条件・評価値の変更内容を「更新依頼」に記入し、資料と一緒に杜工舎へ送付します。</x:v>
      </x:c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4" t="str">
        <x:v>このExcelを編集しても、Webサンプルや公開中のアプリは自動更新されません。</x:v>
      </x:c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4" t="str">
        <x:v>変更内容・費用・反映時期を確認した後、杜工舎がアプリを修正・検証して反映します。</x:v>
      </x:c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4" t="str">
        <x:v>データの出所：杜工舎の説明用サンプル。製品名・数値は架空であり、カタログ等の実測値ではありません。</x:v>
      </x:c>
      <x:c r="B34" s="2"/>
      <x:c r="C34" s="2"/>
      <x:c r="D34" s="2"/>
      <x:c r="E34" s="2"/>
      <x:c r="F34" s="2"/>
      <x:c r="G34" s="2"/>
      <x:c r="H34" s="2"/>
      <x:c r="I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</x:sheetData>
  <x:mergeCells>
    <x:mergeCell ref="D13:I13"/>
    <x:mergeCell ref="D14:I14"/>
    <x:mergeCell ref="D15:I15"/>
    <x:mergeCell ref="D16:I16"/>
  </x:mergeCells>
  <x:conditionalFormatting sqref="B14:B16">
    <x:cfRule type="containsText" dxfId="0" priority="1" operator="containsText" text="適用外"/>
  </x:conditionalFormatting>
  <x:conditionalFormatting sqref="B14:C16">
    <x:cfRule type="containsText" dxfId="1" priority="2" operator="containsText" text="要確認"/>
  </x:conditionalFormatting>
  <x:dataValidations count="6">
    <x:dataValidation type="list" sqref="B6">
      <x:formula1>"屋内,屋外,水中"</x:formula1>
    </x:dataValidation>
    <x:dataValidation type="list" sqref="E6">
      <x:formula1>"温暖,寒冷"</x:formula1>
    </x:dataValidation>
    <x:dataValidation type="list" sqref="H6">
      <x:formula1>"通路,花壇"</x:formula1>
    </x:dataValidation>
    <x:dataValidation type="whole" operator="between" sqref="B9:E9">
      <x:formula1>0</x:formula1>
      <x:formula2>5</x:formula2>
    </x:dataValidation>
    <x:dataValidation type="whole" operator="between" sqref="B23:E25">
      <x:formula1>0</x:formula1>
      <x:formula2>1</x:formula2>
    </x:dataValidation>
    <x:dataValidation type="whole" operator="between" sqref="F23:I25">
      <x:formula1>0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5C4AA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えらぼっと　更新依頼シート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新製品の追加や評価変更を記入し、根拠資料と一緒にメールでお送りください。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 t="str">
        <x:v>会社名</x:v>
      </x:c>
      <x:c r="B5" s="5"/>
      <x:c r="C5" s="5"/>
      <x:c r="D5" s="5"/>
      <x:c r="E5" s="2"/>
      <x:c r="F5" s="2"/>
      <x:c r="G5" s="2"/>
      <x:c r="H5" s="2"/>
    </x:row>
    <x:row r="6" ht="25" customHeight="1">
      <x:c r="A6" s="2" t="str">
        <x:v>ご担当者</x:v>
      </x:c>
      <x:c r="B6" s="5"/>
      <x:c r="C6" s="5"/>
      <x:c r="D6" s="5"/>
      <x:c r="E6" s="2"/>
      <x:c r="F6" s="2"/>
      <x:c r="G6" s="2"/>
      <x:c r="H6" s="2"/>
    </x:row>
    <x:row r="7" ht="25" customHeight="1">
      <x:c r="A7" s="2" t="str">
        <x:v>対象アプリ／URL</x:v>
      </x:c>
      <x:c r="B7" s="5"/>
      <x:c r="C7" s="5"/>
      <x:c r="D7" s="5"/>
      <x:c r="E7" s="2"/>
      <x:c r="F7" s="2"/>
      <x:c r="G7" s="2"/>
      <x:c r="H7" s="2"/>
    </x:row>
    <x:row r="8" ht="25" customHeight="1">
      <x:c r="A8" s="2" t="str">
        <x:v>変更を希望する時期</x:v>
      </x:c>
      <x:c r="B8" s="5"/>
      <x:c r="C8" s="5"/>
      <x:c r="D8" s="5"/>
      <x:c r="E8" s="2"/>
      <x:c r="F8" s="2"/>
      <x:c r="G8" s="2"/>
      <x:c r="H8" s="2"/>
    </x:row>
    <x:row r="9" ht="25" customHeight="1">
      <x:c r="A9" s="2"/>
      <x:c r="B9" s="2"/>
      <x:c r="C9" s="2"/>
      <x:c r="D9" s="2"/>
      <x:c r="E9" s="2"/>
      <x:c r="F9" s="2"/>
      <x:c r="G9" s="2"/>
      <x:c r="H9" s="2"/>
    </x:row>
    <x:row r="10" ht="25" customHeight="1">
      <x:c r="A10" s="4" t="str">
        <x:v>記入例は架空です。下の空欄にご記入ください。行が足りない場合は追加できます。</x:v>
      </x:c>
      <x:c r="B10" s="2"/>
      <x:c r="C10" s="2"/>
      <x:c r="D10" s="2"/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40" customHeight="1">
      <x:c r="A12" s="10" t="str">
        <x:v>区分</x:v>
      </x:c>
      <x:c r="B12" s="10" t="str">
        <x:v>製品ID／製品名</x:v>
      </x:c>
      <x:c r="C12" s="10" t="str">
        <x:v>変更項目</x:v>
      </x:c>
      <x:c r="D12" s="10" t="str">
        <x:v>変更前</x:v>
      </x:c>
      <x:c r="E12" s="10" t="str">
        <x:v>変更後</x:v>
      </x:c>
      <x:c r="F12" s="10" t="str">
        <x:v>理由・根拠</x:v>
      </x:c>
      <x:c r="G12" s="10" t="str">
        <x:v>資料名／ページ／URL</x:v>
      </x:c>
      <x:c r="H12" s="10" t="str">
        <x:v>補足</x:v>
      </x:c>
    </x:row>
    <x:row r="13" ht="78" customHeight="1">
      <x:c r="A13" s="16" t="str">
        <x:v>記入例（送付不要）</x:v>
      </x:c>
      <x:c r="B13" s="16" t="str">
        <x:v>製品A（架空）</x:v>
      </x:c>
      <x:c r="C13" s="16" t="str">
        <x:v>寒冷使用</x:v>
      </x:c>
      <x:c r="D13" s="16" t="str">
        <x:v>0（使用不可）</x:v>
      </x:c>
      <x:c r="E13" s="16" t="str">
        <x:v>1（使用可）</x:v>
      </x:c>
      <x:c r="F13" s="16" t="str">
        <x:v>仕様変更を確認した想定例</x:v>
      </x:c>
      <x:c r="G13" s="16" t="str">
        <x:v>架空の仕様書 第2版 p.4</x:v>
      </x:c>
      <x:c r="H13" s="16" t="str">
        <x:v>実際には確認済みの資料を添付</x:v>
      </x:c>
    </x:row>
    <x:row r="14" ht="44" customHeight="1">
      <x:c r="A14" s="17"/>
      <x:c r="B14" s="17"/>
      <x:c r="C14" s="17"/>
      <x:c r="D14" s="17"/>
      <x:c r="E14" s="17"/>
      <x:c r="F14" s="17"/>
      <x:c r="G14" s="17"/>
      <x:c r="H14" s="17"/>
    </x:row>
    <x:row r="15" ht="44" customHeight="1">
      <x:c r="A15" s="17"/>
      <x:c r="B15" s="17"/>
      <x:c r="C15" s="17"/>
      <x:c r="D15" s="17"/>
      <x:c r="E15" s="17"/>
      <x:c r="F15" s="17"/>
      <x:c r="G15" s="17"/>
      <x:c r="H15" s="17"/>
    </x:row>
    <x:row r="16" ht="44" customHeight="1">
      <x:c r="A16" s="17"/>
      <x:c r="B16" s="17"/>
      <x:c r="C16" s="17"/>
      <x:c r="D16" s="17"/>
      <x:c r="E16" s="17"/>
      <x:c r="F16" s="17"/>
      <x:c r="G16" s="17"/>
      <x:c r="H16" s="17"/>
    </x:row>
    <x:row r="17" ht="44" customHeight="1">
      <x:c r="A17" s="17"/>
      <x:c r="B17" s="17"/>
      <x:c r="C17" s="17"/>
      <x:c r="D17" s="17"/>
      <x:c r="E17" s="17"/>
      <x:c r="F17" s="17"/>
      <x:c r="G17" s="17"/>
      <x:c r="H17" s="17"/>
    </x:row>
    <x:row r="18" ht="44" customHeight="1">
      <x:c r="A18" s="17"/>
      <x:c r="B18" s="17"/>
      <x:c r="C18" s="17"/>
      <x:c r="D18" s="17"/>
      <x:c r="E18" s="17"/>
      <x:c r="F18" s="17"/>
      <x:c r="G18" s="17"/>
      <x:c r="H18" s="17"/>
    </x:row>
    <x:row r="19" ht="44" customHeight="1">
      <x:c r="A19" s="17"/>
      <x:c r="B19" s="17"/>
      <x:c r="C19" s="17"/>
      <x:c r="D19" s="17"/>
      <x:c r="E19" s="17"/>
      <x:c r="F19" s="17"/>
      <x:c r="G19" s="17"/>
      <x:c r="H19" s="17"/>
    </x:row>
    <x:row r="20" ht="44" customHeight="1">
      <x:c r="A20" s="17"/>
      <x:c r="B20" s="17"/>
      <x:c r="C20" s="17"/>
      <x:c r="D20" s="17"/>
      <x:c r="E20" s="17"/>
      <x:c r="F20" s="17"/>
      <x:c r="G20" s="17"/>
      <x:c r="H20" s="17"/>
    </x:row>
    <x:row r="21" ht="44" customHeight="1">
      <x:c r="A21" s="17"/>
      <x:c r="B21" s="17"/>
      <x:c r="C21" s="17"/>
      <x:c r="D21" s="17"/>
      <x:c r="E21" s="17"/>
      <x:c r="F21" s="17"/>
      <x:c r="G21" s="17"/>
      <x:c r="H21" s="17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4" t="str">
        <x:v>製品追加：製品名・ID、用途、使用環境、気候条件、費用、評価の根拠となる資料をご用意ください。</x:v>
      </x:c>
      <x:c r="B23" s="2"/>
      <x:c r="C23" s="2"/>
      <x:c r="D23" s="2"/>
      <x:c r="E23" s="2"/>
      <x:c r="F23" s="2"/>
      <x:c r="G23" s="2"/>
      <x:c r="H23" s="2"/>
    </x:row>
    <x:row r="24" ht="25" customHeight="1">
      <x:c r="A24" s="4" t="str">
        <x:v>未確認の条件は「未確認」と記載してください。空欄や0で「使用可能」を代用しないでください。</x:v>
      </x:c>
      <x:c r="B24" s="2"/>
      <x:c r="C24" s="2"/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  <x:row r="26" ht="25" customHeight="1">
      <x:c r="A26" s="4" t="str">
        <x:v>受付後、杜工舎が変更内容を確認します。Excelの送付だけで公開内容が切り替わることはありません。</x:v>
      </x:c>
      <x:c r="B26" s="2"/>
      <x:c r="C26" s="2"/>
      <x:c r="D26" s="2"/>
      <x:c r="E26" s="2"/>
      <x:c r="F26" s="2"/>
      <x:c r="G26" s="2"/>
      <x:c r="H26" s="2"/>
    </x:row>
    <x:row r="27" ht="25" customHeight="1">
      <x:c r="A27" s="4" t="str">
        <x:v>反映範囲・費用・時期をご案内し、確認後に修正とテストを行います。</x:v>
      </x:c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B5:D5"/>
    <x:mergeCell ref="B6:D6"/>
    <x:mergeCell ref="B7:D7"/>
    <x:mergeCell ref="B8:D8"/>
  </x:mergeCells>
  <x:dataValidations count="1">
    <x:dataValidation type="list" sqref="A14:A21">
      <x:formula1>"製品追加,製品情報変更,評価値変更,適用条件変更,公開停止,その他"</x:formula1>
    </x:dataValidation>
  </x:dataValidations>
  <x:pageMargins left="0.7" right="0.7" top="0.75" bottom="0.75" header="0.3" footer="0.3"/>
</x:worksheet>
</file>